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202300"/>
  <mc:AlternateContent xmlns:mc="http://schemas.openxmlformats.org/markup-compatibility/2006">
    <mc:Choice Requires="x15">
      <x15ac:absPath xmlns:x15ac="http://schemas.microsoft.com/office/spreadsheetml/2010/11/ac" url="/Users/enkh-oyun0218/Documents/data-projects/"/>
    </mc:Choice>
  </mc:AlternateContent>
  <xr:revisionPtr revIDLastSave="0" documentId="8_{C752D4A5-DAE1-8D43-A488-BAFE8C5165C5}" xr6:coauthVersionLast="47" xr6:coauthVersionMax="47" xr10:uidLastSave="{00000000-0000-0000-0000-000000000000}"/>
  <bookViews>
    <workbookView xWindow="0" yWindow="660" windowWidth="29400" windowHeight="18460" activeTab="2" xr2:uid="{3D1C49AC-0006-C640-BB1F-AFA120CADC3C}"/>
  </bookViews>
  <sheets>
    <sheet name="Pivot Table" sheetId="3" r:id="rId1"/>
    <sheet name="Table2" sheetId="2" r:id="rId2"/>
    <sheet name="Dashboard" sheetId="1" r:id="rId3"/>
  </sheets>
  <definedNames>
    <definedName name="ExternalData_1" localSheetId="1" hidden="1">Table2!$A$1:$F$13</definedName>
    <definedName name="Slicer_Category">#N/A</definedName>
    <definedName name="Slicer_Month_name">#N/A</definedName>
  </definedNames>
  <calcPr calcId="181029"/>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 r="C13" i="1" a="1"/>
  <c r="C1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FC1712-DD23-0742-B585-114F19901F1A}"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<sst xmlns="http://schemas.openxmlformats.org/spreadsheetml/2006/main" count="58" uniqueCount="28">
  <si>
    <t>Date</t>
  </si>
  <si>
    <t>Category</t>
  </si>
  <si>
    <t>Description</t>
  </si>
  <si>
    <t>Amount</t>
  </si>
  <si>
    <t>Food</t>
  </si>
  <si>
    <t>Groceries</t>
  </si>
  <si>
    <t>Transport</t>
  </si>
  <si>
    <t>Gas</t>
  </si>
  <si>
    <t>Restaurant</t>
  </si>
  <si>
    <t>Utilities</t>
  </si>
  <si>
    <t>Electric bill</t>
  </si>
  <si>
    <t>Uber</t>
  </si>
  <si>
    <t>Entertainment</t>
  </si>
  <si>
    <t>Movies</t>
  </si>
  <si>
    <t>Internet</t>
  </si>
  <si>
    <t>Concert</t>
  </si>
  <si>
    <t>Month name</t>
  </si>
  <si>
    <t>Month Number</t>
  </si>
  <si>
    <t>January</t>
  </si>
  <si>
    <t>February</t>
  </si>
  <si>
    <t>March</t>
  </si>
  <si>
    <t>Row Labels</t>
  </si>
  <si>
    <t>Grand Total</t>
  </si>
  <si>
    <t>Column Labels</t>
  </si>
  <si>
    <t>Sum of Amount</t>
  </si>
  <si>
    <t>Total Spending</t>
  </si>
  <si>
    <t>Avg Monthly</t>
  </si>
  <si>
    <t>Top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</si>
</sst>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1" xfId="0" applyFill="1" applyBorder="1"/>
  </cellXfs>
  <cellStyles count="1">
    <cellStyle name="Normal" xfId="0" builtinId="0"/>
  </cellStyles>
  <dxfs count="4">
    <dxf>
      <numFmt numFmtId="0" formatCode="General"/>
    </dxf>
    <dxf>
      <numFmt numFmtId="0" formatCode="General"/>
    </dxf>
    <dxf>
      <numFmt numFmtId="0" formatCode="General"/>
    </dxf>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[Basic Monthly Expense Tracker.xlsx]Dashboard!PivotTable1</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aseline="0"/>
              <a:t>Monthly Spending by Category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M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Dashboard!$B$3:$B$4</c:f>
              <c:strCache>
                <c:ptCount val="1"/>
                <c:pt idx="0">
                  <c:v>January</c:v>
                </c:pt>
              </c:strCache>
            </c:strRef>
          </c:tx>
          <c:spPr>
            <a:solidFill>
              <a:schemeClr val="accent1"/>
            </a:solidFill>
            <a:ln>
              <a:noFill/>
            </a:ln>
            <a:effectLst/>
          </c:spPr>
          <c:invertIfNegative val="0"/>
          <c:cat>
            <c:strRef>
              <c:f>Dashboard!$A$5:$A$9</c:f>
              <c:strCache>
                <c:ptCount val="4"/>
                <c:pt idx="0">
                  <c:v>Entertainment</c:v>
                </c:pt>
                <c:pt idx="1">
                  <c:v>Food</c:v>
                </c:pt>
                <c:pt idx="2">
                  <c:v>Transport</c:v>
                </c:pt>
                <c:pt idx="3">
                  <c:v>Utilities</c:v>
                </c:pt>
              </c:strCache>
            </c:strRef>
          </c:cat>
          <c:val>
            <c:numRef>
              <c:f>Dashboard!$B$5:$B$9</c:f>
              <c:numCache>
                <c:formatCode>General</c:formatCode>
                <c:ptCount val="4"/>
                <c:pt idx="1">
                  <c:v>115</c:v>
                </c:pt>
                <c:pt idx="2">
                  <c:v>45</c:v>
                </c:pt>
                <c:pt idx="3">
                  <c:v>120</c:v>
                </c:pt>
              </c:numCache>
            </c:numRef>
          </c:val>
          <c:extLst>
            <c:ext xmlns:c16="http://schemas.microsoft.com/office/drawing/2014/chart" uri="{C3380CC4-5D6E-409C-BE32-E72D297353CC}">
              <c16:uniqueId val="{00000000-5988-754C-ABF1-5B38A811D904}"/>
            </c:ext>
          </c:extLst>
        </c:ser>
        <c:ser>
          <c:idx val="1"/>
          <c:order val="1"/>
          <c:tx>
            <c:strRef>
              <c:f>Dashboard!$C$3:$C$4</c:f>
              <c:strCache>
                <c:ptCount val="1"/>
                <c:pt idx="0">
                  <c:v>February</c:v>
                </c:pt>
              </c:strCache>
            </c:strRef>
          </c:tx>
          <c:spPr>
            <a:solidFill>
              <a:schemeClr val="accent2"/>
            </a:solidFill>
            <a:ln>
              <a:noFill/>
            </a:ln>
            <a:effectLst/>
          </c:spPr>
          <c:invertIfNegative val="0"/>
          <c:cat>
            <c:strRef>
              <c:f>Dashboard!$A$5:$A$9</c:f>
              <c:strCache>
                <c:ptCount val="4"/>
                <c:pt idx="0">
                  <c:v>Entertainment</c:v>
                </c:pt>
                <c:pt idx="1">
                  <c:v>Food</c:v>
                </c:pt>
                <c:pt idx="2">
                  <c:v>Transport</c:v>
                </c:pt>
                <c:pt idx="3">
                  <c:v>Utilities</c:v>
                </c:pt>
              </c:strCache>
            </c:strRef>
          </c:cat>
          <c:val>
            <c:numRef>
              <c:f>Dashboard!$C$5:$C$9</c:f>
              <c:numCache>
                <c:formatCode>General</c:formatCode>
                <c:ptCount val="4"/>
                <c:pt idx="0">
                  <c:v>40</c:v>
                </c:pt>
                <c:pt idx="1">
                  <c:v>90</c:v>
                </c:pt>
                <c:pt idx="2">
                  <c:v>25</c:v>
                </c:pt>
                <c:pt idx="3">
                  <c:v>60</c:v>
                </c:pt>
              </c:numCache>
            </c:numRef>
          </c:val>
          <c:extLst>
            <c:ext xmlns:c16="http://schemas.microsoft.com/office/drawing/2014/chart" uri="{C3380CC4-5D6E-409C-BE32-E72D297353CC}">
              <c16:uniqueId val="{00000004-5988-754C-ABF1-5B38A811D904}"/>
            </c:ext>
          </c:extLst>
        </c:ser>
        <c:ser>
          <c:idx val="2"/>
          <c:order val="2"/>
          <c:tx>
            <c:strRef>
              <c:f>Dashboard!$D$3:$D$4</c:f>
              <c:strCache>
                <c:ptCount val="1"/>
                <c:pt idx="0">
                  <c:v>March</c:v>
                </c:pt>
              </c:strCache>
            </c:strRef>
          </c:tx>
          <c:spPr>
            <a:solidFill>
              <a:schemeClr val="accent3"/>
            </a:solidFill>
            <a:ln>
              <a:noFill/>
            </a:ln>
            <a:effectLst/>
          </c:spPr>
          <c:invertIfNegative val="0"/>
          <c:cat>
            <c:strRef>
              <c:f>Dashboard!$A$5:$A$9</c:f>
              <c:strCache>
                <c:ptCount val="4"/>
                <c:pt idx="0">
                  <c:v>Entertainment</c:v>
                </c:pt>
                <c:pt idx="1">
                  <c:v>Food</c:v>
                </c:pt>
                <c:pt idx="2">
                  <c:v>Transport</c:v>
                </c:pt>
                <c:pt idx="3">
                  <c:v>Utilities</c:v>
                </c:pt>
              </c:strCache>
            </c:strRef>
          </c:cat>
          <c:val>
            <c:numRef>
              <c:f>Dashboard!$D$5:$D$9</c:f>
              <c:numCache>
                <c:formatCode>General</c:formatCode>
                <c:ptCount val="4"/>
                <c:pt idx="0">
                  <c:v>80</c:v>
                </c:pt>
                <c:pt idx="1">
                  <c:v>75</c:v>
                </c:pt>
                <c:pt idx="2">
                  <c:v>50</c:v>
                </c:pt>
                <c:pt idx="3">
                  <c:v>115</c:v>
                </c:pt>
              </c:numCache>
            </c:numRef>
          </c:val>
          <c:extLst>
            <c:ext xmlns:c16="http://schemas.microsoft.com/office/drawing/2014/chart" uri="{C3380CC4-5D6E-409C-BE32-E72D297353CC}">
              <c16:uniqueId val="{00000005-5988-754C-ABF1-5B38A811D904}"/>
            </c:ext>
          </c:extLst>
        </c:ser>
        <c:dLbls>
          <c:showLegendKey val="0"/>
          <c:showVal val="0"/>
          <c:showCatName val="0"/>
          <c:showSerName val="0"/>
          <c:showPercent val="0"/>
          <c:showBubbleSize val="0"/>
        </c:dLbls>
        <c:gapWidth val="219"/>
        <c:overlap val="-27"/>
        <c:axId val="619069888"/>
        <c:axId val="619082880"/>
      </c:barChart>
      <c:catAx>
        <c:axId val="61906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MN"/>
          </a:p>
        </c:txPr>
        <c:crossAx val="619082880"/>
        <c:crosses val="autoZero"/>
        <c:auto val="1"/>
        <c:lblAlgn val="ctr"/>
        <c:lblOffset val="100"/>
        <c:noMultiLvlLbl val="0"/>
      </c:catAx>
      <c:valAx>
        <c:axId val="619082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MN"/>
          </a:p>
        </c:txPr>
        <c:crossAx val="61906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M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M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25400</xdr:colOff>
      <xdr:row>2</xdr:row>
      <xdr:rowOff>25400</xdr:rowOff>
    </xdr:from>
    <xdr:to>
      <xdr:col>8</xdr:col>
      <xdr:colOff>203200</xdr:colOff>
      <xdr:row>10</xdr:row>
      <xdr:rowOff>63500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98ADBA01-B7CD-7B4A-A88E-B7C8D03A83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29200" y="431800"/>
              <a:ext cx="1828800" cy="1663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12700</xdr:colOff>
      <xdr:row>2</xdr:row>
      <xdr:rowOff>12700</xdr:rowOff>
    </xdr:from>
    <xdr:to>
      <xdr:col>11</xdr:col>
      <xdr:colOff>190500</xdr:colOff>
      <xdr:row>9</xdr:row>
      <xdr:rowOff>12700</xdr:rowOff>
    </xdr:to>
    <mc:AlternateContent xmlns:mc="http://schemas.openxmlformats.org/markup-compatibility/2006">
      <mc:Choice xmlns:a14="http://schemas.microsoft.com/office/drawing/2010/main" Requires="a14">
        <xdr:graphicFrame macro="">
          <xdr:nvGraphicFramePr>
            <xdr:cNvPr id="3" name="Month name">
              <a:extLst>
                <a:ext uri="{FF2B5EF4-FFF2-40B4-BE49-F238E27FC236}">
                  <a16:creationId xmlns:a16="http://schemas.microsoft.com/office/drawing/2014/main" id="{3D59BDA5-79D4-E243-A11D-C6F4B625380D}"/>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7493000" y="419100"/>
              <a:ext cx="1828800" cy="142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12700</xdr:colOff>
      <xdr:row>11</xdr:row>
      <xdr:rowOff>25400</xdr:rowOff>
    </xdr:from>
    <xdr:to>
      <xdr:col>15</xdr:col>
      <xdr:colOff>8128</xdr:colOff>
      <xdr:row>32</xdr:row>
      <xdr:rowOff>50800</xdr:rowOff>
    </xdr:to>
    <xdr:graphicFrame macro="">
      <xdr:nvGraphicFramePr>
        <xdr:cNvPr id="4" name="Chart 3">
          <a:extLst>
            <a:ext uri="{FF2B5EF4-FFF2-40B4-BE49-F238E27FC236}">
              <a16:creationId xmlns:a16="http://schemas.microsoft.com/office/drawing/2014/main" id="{37DC15F1-2CF1-EA40-863F-45CF7B354F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kh-Oyun Tsend-Ayush" refreshedDate="46160.71102141204" createdVersion="8" refreshedVersion="8" minRefreshableVersion="3" recordCount="12" xr:uid="{5085AC41-A97A-414D-ABC9-40FA244F3881}">
  <cacheSource type="worksheet">
    <worksheetSource name="Table2"/>
  </cacheSource>
  <cacheFields count="6">
    <cacheField name="Date" numFmtId="14">
      <sharedItems containsSemiMixedTypes="0" containsNonDate="0" containsDate="1" containsString="0" minDate="2025-01-05T00:00:00" maxDate="2025-03-26T00:00:00"/>
    </cacheField>
    <cacheField name="Category" numFmtId="0">
      <sharedItems count="4">
        <s v="Food"/>
        <s v="Transport"/>
        <s v="Utilities"/>
        <s v="Entertainment"/>
      </sharedItems>
    </cacheField>
    <cacheField name="Description" numFmtId="0">
      <sharedItems/>
    </cacheField>
    <cacheField name="Amount" numFmtId="0">
      <sharedItems containsSemiMixedTypes="0" containsString="0" containsNumber="1" containsInteger="1" minValue="25" maxValue="120"/>
    </cacheField>
    <cacheField name="Month name" numFmtId="0">
      <sharedItems count="3">
        <s v="January"/>
        <s v="February"/>
        <s v="March"/>
      </sharedItems>
    </cacheField>
    <cacheField name="Month Number" numFmtId="0">
      <sharedItems containsSemiMixedTypes="0" containsString="0" containsNumber="1" containsInteger="1" minValue="1" maxValue="3"/>
    </cacheField>
  </cacheFields>
  <extLst>
    <ext xmlns:x14="http://schemas.microsoft.com/office/spreadsheetml/2009/9/main" uri="{725AE2AE-9491-48be-B2B4-4EB974FC3084}">
      <x14:pivotCacheDefinition pivotCacheId="4561209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d v="2025-01-05T00:00:00"/>
    <x v="0"/>
    <s v="Groceries"/>
    <n v="85"/>
    <x v="0"/>
    <n v="1"/>
  </r>
  <r>
    <d v="2025-01-10T00:00:00"/>
    <x v="1"/>
    <s v="Gas"/>
    <n v="45"/>
    <x v="0"/>
    <n v="1"/>
  </r>
  <r>
    <d v="2025-01-15T00:00:00"/>
    <x v="0"/>
    <s v="Restaurant"/>
    <n v="30"/>
    <x v="0"/>
    <n v="1"/>
  </r>
  <r>
    <d v="2025-01-20T00:00:00"/>
    <x v="2"/>
    <s v="Electric bill"/>
    <n v="120"/>
    <x v="0"/>
    <n v="1"/>
  </r>
  <r>
    <d v="2025-02-03T00:00:00"/>
    <x v="0"/>
    <s v="Groceries"/>
    <n v="90"/>
    <x v="1"/>
    <n v="2"/>
  </r>
  <r>
    <d v="2025-02-08T00:00:00"/>
    <x v="1"/>
    <s v="Uber"/>
    <n v="25"/>
    <x v="1"/>
    <n v="2"/>
  </r>
  <r>
    <d v="2025-02-14T00:00:00"/>
    <x v="3"/>
    <s v="Movies"/>
    <n v="40"/>
    <x v="1"/>
    <n v="2"/>
  </r>
  <r>
    <d v="2025-02-20T00:00:00"/>
    <x v="2"/>
    <s v="Internet"/>
    <n v="60"/>
    <x v="1"/>
    <n v="2"/>
  </r>
  <r>
    <d v="2025-03-01T00:00:00"/>
    <x v="0"/>
    <s v="Groceries"/>
    <n v="75"/>
    <x v="2"/>
    <n v="3"/>
  </r>
  <r>
    <d v="2025-03-10T00:00:00"/>
    <x v="1"/>
    <s v="Gas"/>
    <n v="50"/>
    <x v="2"/>
    <n v="3"/>
  </r>
  <r>
    <d v="2025-03-18T00:00:00"/>
    <x v="3"/>
    <s v="Concert"/>
    <n v="80"/>
    <x v="2"/>
    <n v="3"/>
  </r>
  <r>
    <d v="2025-03-25T00:00:00"/>
    <x v="2"/>
    <s v="Electric bill"/>
    <n v="115"/>
    <x v="2"/>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1CCDD4-6B61-384A-AACC-5E6DB610A79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9" firstHeaderRow="1" firstDataRow="2" firstDataCol="1"/>
  <pivotFields count="6">
    <pivotField numFmtId="14" showAll="0"/>
    <pivotField axis="axisRow" showAll="0">
      <items count="5">
        <item x="3"/>
        <item x="0"/>
        <item x="1"/>
        <item x="2"/>
        <item t="default"/>
      </items>
    </pivotField>
    <pivotField showAll="0"/>
    <pivotField dataField="1" showAll="0"/>
    <pivotField axis="axisCol" showAll="0" sortType="ascending">
      <items count="4">
        <item x="0"/>
        <item x="1"/>
        <item x="2"/>
        <item t="default"/>
      </items>
    </pivotField>
    <pivotField showAll="0"/>
  </pivotFields>
  <rowFields count="1">
    <field x="1"/>
  </rowFields>
  <rowItems count="5">
    <i>
      <x/>
    </i>
    <i>
      <x v="1"/>
    </i>
    <i>
      <x v="2"/>
    </i>
    <i>
      <x v="3"/>
    </i>
    <i t="grand">
      <x/>
    </i>
  </rowItems>
  <colFields count="1">
    <field x="4"/>
  </colFields>
  <colItems count="4">
    <i>
      <x/>
    </i>
    <i>
      <x v="1"/>
    </i>
    <i>
      <x v="2"/>
    </i>
    <i t="grand">
      <x/>
    </i>
  </colItems>
  <dataFields count="1">
    <dataField name="Sum of Amount" fld="3" baseField="0" baseItem="0"/>
  </dataFields>
  <chartFormats count="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3" format="3" series="1">
      <pivotArea type="data" outline="0" fieldPosition="0">
        <references count="2">
          <reference field="4294967294" count="1" selected="0">
            <x v="0"/>
          </reference>
          <reference field="4" count="1" selected="0">
            <x v="0"/>
          </reference>
        </references>
      </pivotArea>
    </chartFormat>
    <chartFormat chart="3" format="4" series="1">
      <pivotArea type="data" outline="0" fieldPosition="0">
        <references count="2">
          <reference field="4294967294" count="1" selected="0">
            <x v="0"/>
          </reference>
          <reference field="4" count="1" selected="0">
            <x v="1"/>
          </reference>
        </references>
      </pivotArea>
    </chartFormat>
    <chartFormat chart="3" format="5" series="1">
      <pivotArea type="data" outline="0" fieldPosition="0">
        <references count="2">
          <reference field="4294967294" count="1" selected="0">
            <x v="0"/>
          </reference>
          <reference field="4" count="1" selected="0">
            <x v="2"/>
          </reference>
        </references>
      </pivotArea>
    </chartFormat>
    <chartFormat chart="4" format="6" series="1">
      <pivotArea type="data" outline="0" fieldPosition="0">
        <references count="2">
          <reference field="4294967294" count="1" selected="0">
            <x v="0"/>
          </reference>
          <reference field="4" count="1" selected="0">
            <x v="0"/>
          </reference>
        </references>
      </pivotArea>
    </chartFormat>
    <chartFormat chart="4" format="7" series="1">
      <pivotArea type="data" outline="0" fieldPosition="0">
        <references count="2">
          <reference field="4294967294" count="1" selected="0">
            <x v="0"/>
          </reference>
          <reference field="4" count="1" selected="0">
            <x v="1"/>
          </reference>
        </references>
      </pivotArea>
    </chartFormat>
    <chartFormat chart="4" format="8" series="1">
      <pivotArea type="data" outline="0" fieldPosition="0">
        <references count="2">
          <reference field="4294967294" count="1" selected="0">
            <x v="0"/>
          </reference>
          <reference field="4" count="1" selected="0">
            <x v="2"/>
          </reference>
        </references>
      </pivotArea>
    </chartFormat>
    <chartFormat chart="4" format="9"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74BF7E-2BC8-DB42-91BA-C80D1827318D}" autoFormatId="16" applyNumberFormats="0" applyBorderFormats="0" applyFontFormats="0" applyPatternFormats="0" applyAlignmentFormats="0" applyWidthHeightFormats="0">
  <queryTableRefresh nextId="7">
    <queryTableFields count="6">
      <queryTableField id="1" name="Date" tableColumnId="1"/>
      <queryTableField id="2" name="Category" tableColumnId="2"/>
      <queryTableField id="3" name="Description" tableColumnId="3"/>
      <queryTableField id="4" name="Amount" tableColumnId="4"/>
      <queryTableField id="5" name="Month name" tableColumnId="5"/>
      <queryTableField id="6" name="Month Number"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38A2A0-6DD3-E442-8DD8-FA8CD21B974E}" sourceName="Category">
  <pivotTables>
    <pivotTable tabId="1" name="PivotTable1"/>
  </pivotTables>
  <data>
    <tabular pivotCacheId="456120964">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6520CFD-E936-B043-8596-487282F826ED}" sourceName="Month name">
  <pivotTables>
    <pivotTable tabId="1" name="PivotTable1"/>
  </pivotTables>
  <data>
    <tabular pivotCacheId="45612096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943DD93-9966-4344-A011-8EAADA77F01D}" cache="Slicer_Category" caption="Category" rowHeight="251883"/>
  <slicer name="Month name" xr10:uid="{2532702A-A7D9-884A-AE1F-8C19813CDA1E}" cache="Slicer_Month_name" caption="Month nam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5EBDD7-ABCE-D84E-B4C2-A99AB52494A2}" name="Table2" displayName="Table2" ref="A1:F13" tableType="queryTable" totalsRowShown="0">
  <autoFilter ref="A1:F13" xr:uid="{0B5EBDD7-ABCE-D84E-B4C2-A99AB52494A2}"/>
  <tableColumns count="6">
    <tableColumn id="1" xr3:uid="{50DEEA2C-FAC7-E045-87BC-FE80D58AB0F0}" uniqueName="1" name="Date" queryTableFieldId="1" dataDxfId="3"/>
    <tableColumn id="2" xr3:uid="{C3BBA14E-8C6E-D14F-B069-41AAE4B46D98}" uniqueName="2" name="Category" queryTableFieldId="2" dataDxfId="2"/>
    <tableColumn id="3" xr3:uid="{E10628CA-1FD9-FE4F-A833-F8B50A203434}" uniqueName="3" name="Description" queryTableFieldId="3" dataDxfId="1"/>
    <tableColumn id="4" xr3:uid="{F38A8325-0AD1-F64D-9AED-C91DFDFB250F}" uniqueName="4" name="Amount" queryTableFieldId="4"/>
    <tableColumn id="5" xr3:uid="{65E5A846-C88C-5243-9FA5-540B7E290FA9}" uniqueName="5" name="Month name" queryTableFieldId="5" dataDxfId="0"/>
    <tableColumn id="6" xr3:uid="{8999307F-1190-B14A-8C4E-A1C969ED77C3}" uniqueName="6" name="Month Number"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3BA81-F664-0541-9459-70429776A9C6}">
  <dimension ref="A1"/>
  <sheetViews>
    <sheetView workbookViewId="0">
      <selection activeCell="A3" sqref="A3:E9"/>
    </sheetView>
  </sheetViews>
  <sheetFormatPr baseColWidth="10" defaultRowHeight="16" x14ac:dyDescent="0.2"/>
  <cols>
    <col min="1" max="1" width="13.6640625" bestFit="1" customWidth="1"/>
    <col min="2" max="2" width="16" bestFit="1" customWidth="1"/>
    <col min="3" max="3" width="8.33203125" bestFit="1" customWidth="1"/>
    <col min="4" max="4" width="6.33203125" bestFit="1" customWidth="1"/>
    <col min="5" max="5" width="10.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C64A-5A6D-4947-890A-73486D7D267D}">
  <dimension ref="A1:F13"/>
  <sheetViews>
    <sheetView workbookViewId="0">
      <selection activeCell="C8" sqref="C8"/>
    </sheetView>
  </sheetViews>
  <sheetFormatPr baseColWidth="10" defaultRowHeight="16" x14ac:dyDescent="0.2"/>
  <cols>
    <col min="1" max="1" width="10.1640625" bestFit="1" customWidth="1"/>
    <col min="2" max="2" width="12.83203125" bestFit="1" customWidth="1"/>
    <col min="3" max="3" width="13.33203125" bestFit="1" customWidth="1"/>
    <col min="4" max="4" width="10.1640625" bestFit="1" customWidth="1"/>
    <col min="5" max="5" width="13.83203125" bestFit="1" customWidth="1"/>
    <col min="6" max="6" width="15.83203125" bestFit="1" customWidth="1"/>
  </cols>
  <sheetData>
    <row r="1" spans="1:6" x14ac:dyDescent="0.2">
      <c r="A1" t="s">
        <v>0</v>
      </c>
      <c r="B1" t="s">
        <v>1</v>
      </c>
      <c r="C1" t="s">
        <v>2</v>
      </c>
      <c r="D1" t="s">
        <v>3</v>
      </c>
      <c r="E1" t="s">
        <v>16</v>
      </c>
      <c r="F1" t="s">
        <v>17</v>
      </c>
    </row>
    <row r="2" spans="1:6" x14ac:dyDescent="0.2">
      <c r="A2" s="1">
        <v>45662</v>
      </c>
      <c r="B2" s="2" t="s">
        <v>4</v>
      </c>
      <c r="C2" s="2" t="s">
        <v>5</v>
      </c>
      <c r="D2">
        <v>85</v>
      </c>
      <c r="E2" s="2" t="s">
        <v>18</v>
      </c>
      <c r="F2">
        <v>1</v>
      </c>
    </row>
    <row r="3" spans="1:6" x14ac:dyDescent="0.2">
      <c r="A3" s="1">
        <v>45667</v>
      </c>
      <c r="B3" s="2" t="s">
        <v>6</v>
      </c>
      <c r="C3" s="2" t="s">
        <v>7</v>
      </c>
      <c r="D3">
        <v>45</v>
      </c>
      <c r="E3" s="2" t="s">
        <v>18</v>
      </c>
      <c r="F3">
        <v>1</v>
      </c>
    </row>
    <row r="4" spans="1:6" x14ac:dyDescent="0.2">
      <c r="A4" s="1">
        <v>45672</v>
      </c>
      <c r="B4" s="2" t="s">
        <v>4</v>
      </c>
      <c r="C4" s="2" t="s">
        <v>8</v>
      </c>
      <c r="D4">
        <v>30</v>
      </c>
      <c r="E4" s="2" t="s">
        <v>18</v>
      </c>
      <c r="F4">
        <v>1</v>
      </c>
    </row>
    <row r="5" spans="1:6" x14ac:dyDescent="0.2">
      <c r="A5" s="1">
        <v>45677</v>
      </c>
      <c r="B5" s="2" t="s">
        <v>9</v>
      </c>
      <c r="C5" s="2" t="s">
        <v>10</v>
      </c>
      <c r="D5">
        <v>120</v>
      </c>
      <c r="E5" s="2" t="s">
        <v>18</v>
      </c>
      <c r="F5">
        <v>1</v>
      </c>
    </row>
    <row r="6" spans="1:6" x14ac:dyDescent="0.2">
      <c r="A6" s="1">
        <v>45691</v>
      </c>
      <c r="B6" s="2" t="s">
        <v>4</v>
      </c>
      <c r="C6" s="2" t="s">
        <v>5</v>
      </c>
      <c r="D6">
        <v>90</v>
      </c>
      <c r="E6" s="2" t="s">
        <v>19</v>
      </c>
      <c r="F6">
        <v>2</v>
      </c>
    </row>
    <row r="7" spans="1:6" x14ac:dyDescent="0.2">
      <c r="A7" s="1">
        <v>45696</v>
      </c>
      <c r="B7" s="2" t="s">
        <v>6</v>
      </c>
      <c r="C7" s="2" t="s">
        <v>11</v>
      </c>
      <c r="D7">
        <v>25</v>
      </c>
      <c r="E7" s="2" t="s">
        <v>19</v>
      </c>
      <c r="F7">
        <v>2</v>
      </c>
    </row>
    <row r="8" spans="1:6" x14ac:dyDescent="0.2">
      <c r="A8" s="1">
        <v>45702</v>
      </c>
      <c r="B8" s="2" t="s">
        <v>12</v>
      </c>
      <c r="C8" s="2" t="s">
        <v>13</v>
      </c>
      <c r="D8">
        <v>40</v>
      </c>
      <c r="E8" s="2" t="s">
        <v>19</v>
      </c>
      <c r="F8">
        <v>2</v>
      </c>
    </row>
    <row r="9" spans="1:6" x14ac:dyDescent="0.2">
      <c r="A9" s="1">
        <v>45708</v>
      </c>
      <c r="B9" s="2" t="s">
        <v>9</v>
      </c>
      <c r="C9" s="2" t="s">
        <v>14</v>
      </c>
      <c r="D9">
        <v>60</v>
      </c>
      <c r="E9" s="2" t="s">
        <v>19</v>
      </c>
      <c r="F9">
        <v>2</v>
      </c>
    </row>
    <row r="10" spans="1:6" x14ac:dyDescent="0.2">
      <c r="A10" s="1">
        <v>45717</v>
      </c>
      <c r="B10" s="2" t="s">
        <v>4</v>
      </c>
      <c r="C10" s="2" t="s">
        <v>5</v>
      </c>
      <c r="D10">
        <v>75</v>
      </c>
      <c r="E10" s="2" t="s">
        <v>20</v>
      </c>
      <c r="F10">
        <v>3</v>
      </c>
    </row>
    <row r="11" spans="1:6" x14ac:dyDescent="0.2">
      <c r="A11" s="1">
        <v>45726</v>
      </c>
      <c r="B11" s="2" t="s">
        <v>6</v>
      </c>
      <c r="C11" s="2" t="s">
        <v>7</v>
      </c>
      <c r="D11">
        <v>50</v>
      </c>
      <c r="E11" s="2" t="s">
        <v>20</v>
      </c>
      <c r="F11">
        <v>3</v>
      </c>
    </row>
    <row r="12" spans="1:6" x14ac:dyDescent="0.2">
      <c r="A12" s="1">
        <v>45734</v>
      </c>
      <c r="B12" s="2" t="s">
        <v>12</v>
      </c>
      <c r="C12" s="2" t="s">
        <v>15</v>
      </c>
      <c r="D12">
        <v>80</v>
      </c>
      <c r="E12" s="2" t="s">
        <v>20</v>
      </c>
      <c r="F12">
        <v>3</v>
      </c>
    </row>
    <row r="13" spans="1:6" x14ac:dyDescent="0.2">
      <c r="A13" s="1">
        <v>45741</v>
      </c>
      <c r="B13" s="2" t="s">
        <v>9</v>
      </c>
      <c r="C13" s="2" t="s">
        <v>10</v>
      </c>
      <c r="D13">
        <v>115</v>
      </c>
      <c r="E13" s="2" t="s">
        <v>20</v>
      </c>
      <c r="F13">
        <v>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8AE5E-A53F-7642-8594-40F129BCE4F9}">
  <dimension ref="A3:E14"/>
  <sheetViews>
    <sheetView tabSelected="1" workbookViewId="0">
      <selection activeCell="C13" sqref="C13"/>
    </sheetView>
  </sheetViews>
  <sheetFormatPr baseColWidth="10" defaultRowHeight="16" x14ac:dyDescent="0.2"/>
  <cols>
    <col min="1" max="1" width="13.6640625" bestFit="1" customWidth="1"/>
    <col min="2" max="2" width="16" bestFit="1" customWidth="1"/>
    <col min="3" max="3" width="8.33203125" bestFit="1" customWidth="1"/>
    <col min="4" max="4" width="6.33203125" bestFit="1" customWidth="1"/>
    <col min="5" max="5" width="10.5" bestFit="1" customWidth="1"/>
  </cols>
  <sheetData>
    <row r="3" spans="1:5" x14ac:dyDescent="0.2">
      <c r="A3" s="3" t="s">
        <v>24</v>
      </c>
      <c r="B3" s="3" t="s">
        <v>23</v>
      </c>
    </row>
    <row r="4" spans="1:5" x14ac:dyDescent="0.2">
      <c r="A4" s="3" t="s">
        <v>21</v>
      </c>
      <c r="B4" t="s">
        <v>18</v>
      </c>
      <c r="C4" t="s">
        <v>19</v>
      </c>
      <c r="D4" t="s">
        <v>20</v>
      </c>
      <c r="E4" t="s">
        <v>22</v>
      </c>
    </row>
    <row r="5" spans="1:5" x14ac:dyDescent="0.2">
      <c r="A5" s="4" t="s">
        <v>12</v>
      </c>
      <c r="B5" s="2"/>
      <c r="C5" s="2">
        <v>40</v>
      </c>
      <c r="D5" s="2">
        <v>80</v>
      </c>
      <c r="E5" s="2">
        <v>120</v>
      </c>
    </row>
    <row r="6" spans="1:5" x14ac:dyDescent="0.2">
      <c r="A6" s="4" t="s">
        <v>4</v>
      </c>
      <c r="B6" s="2">
        <v>115</v>
      </c>
      <c r="C6" s="2">
        <v>90</v>
      </c>
      <c r="D6" s="2">
        <v>75</v>
      </c>
      <c r="E6" s="2">
        <v>280</v>
      </c>
    </row>
    <row r="7" spans="1:5" x14ac:dyDescent="0.2">
      <c r="A7" s="4" t="s">
        <v>6</v>
      </c>
      <c r="B7" s="2">
        <v>45</v>
      </c>
      <c r="C7" s="2">
        <v>25</v>
      </c>
      <c r="D7" s="2">
        <v>50</v>
      </c>
      <c r="E7" s="2">
        <v>120</v>
      </c>
    </row>
    <row r="8" spans="1:5" x14ac:dyDescent="0.2">
      <c r="A8" s="4" t="s">
        <v>9</v>
      </c>
      <c r="B8" s="2">
        <v>120</v>
      </c>
      <c r="C8" s="2">
        <v>60</v>
      </c>
      <c r="D8" s="2">
        <v>115</v>
      </c>
      <c r="E8" s="2">
        <v>295</v>
      </c>
    </row>
    <row r="9" spans="1:5" x14ac:dyDescent="0.2">
      <c r="A9" s="4" t="s">
        <v>22</v>
      </c>
      <c r="B9" s="2">
        <v>280</v>
      </c>
      <c r="C9" s="2">
        <v>215</v>
      </c>
      <c r="D9" s="2">
        <v>320</v>
      </c>
      <c r="E9" s="2">
        <v>815</v>
      </c>
    </row>
    <row r="12" spans="1:5" x14ac:dyDescent="0.2">
      <c r="B12" s="5" t="s">
        <v>25</v>
      </c>
      <c r="C12" s="5">
        <f>SUM(Table2[Amount])</f>
        <v>815</v>
      </c>
    </row>
    <row r="13" spans="1:5" x14ac:dyDescent="0.2">
      <c r="B13" s="5" t="s">
        <v>26</v>
      </c>
      <c r="C13" s="5" cm="1">
        <f t="array" ref="C13">AVERAGE(SUMIF(Table2[Category],{"Food","Transport","Utilities","Entertainment"}, Table2[Amount]))</f>
        <v>203.75</v>
      </c>
    </row>
    <row r="14" spans="1:5" x14ac:dyDescent="0.2">
      <c r="B14" s="5" t="s">
        <v>27</v>
      </c>
      <c r="C14" s="5" t="s">
        <v>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EBDF19-69D8-2144-AFAC-31A5140FD29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Table2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enkhoyuntsendayush@gmail.com</dc:creator>
  <cp:lastModifiedBy>enkhoyuntsendayush@gmail.com</cp:lastModifiedBy>
  <dcterms:created xsi:type="dcterms:W3CDTF">2026-05-18T23:59:01Z</dcterms:created>
  <dcterms:modified xsi:type="dcterms:W3CDTF">2026-05-19T00:37:05Z</dcterms:modified>
</cp:coreProperties>
</file>